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heetId="1" state="visible" r:id="rId1"/>
    <sheet xmlns:r="http://schemas.openxmlformats.org/officeDocument/2006/relationships" name="Expenses" sheetId="2" state="visible" r:id="rId2"/>
    <sheet xmlns:r="http://schemas.openxmlformats.org/officeDocument/2006/relationships" name="Mileage"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0"/>
  </numFmts>
  <fonts count="9">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
      <name val="Calibri"/>
      <i val="1"/>
      <color rgb="004A4A4A"/>
      <sz val="9"/>
    </font>
    <font>
      <name val="Calibri"/>
      <b val="1"/>
      <color rgb="001F5A5F"/>
      <sz val="10"/>
    </font>
    <font>
      <name val="Calibri"/>
      <color rgb="001F5A5F"/>
      <sz val="11"/>
    </font>
    <font>
      <name val="Calibri"/>
      <b val="1"/>
      <color rgb="001F5A5F"/>
      <sz val="11"/>
    </font>
  </fonts>
  <fills count="7">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
      <patternFill patternType="solid">
        <fgColor rgb="00FFF8DC"/>
      </patternFill>
    </fill>
  </fills>
  <borders count="2">
    <border>
      <left/>
      <right/>
      <top/>
      <bottom/>
      <diagonal/>
    </border>
    <border>
      <left style="thin">
        <color rgb="00D4E3E4"/>
      </left>
      <right style="thin">
        <color rgb="00D4E3E4"/>
      </right>
      <top style="thin">
        <color rgb="00D4E3E4"/>
      </top>
      <bottom style="thin">
        <color rgb="00D4E3E4"/>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xf numFmtId="0" fontId="3" fillId="2" borderId="0" applyAlignment="1" pivotButton="0" quotePrefix="0" xfId="0">
      <alignment horizontal="right" vertical="center" indent="1"/>
    </xf>
    <xf numFmtId="164" fontId="3" fillId="2" borderId="1" pivotButton="0" quotePrefix="0" xfId="0"/>
    <xf numFmtId="0" fontId="5" fillId="2" borderId="0" pivotButton="0" quotePrefix="0" xfId="0"/>
    <xf numFmtId="0" fontId="0" fillId="2" borderId="0" pivotButton="0" quotePrefix="0" xfId="0"/>
    <xf numFmtId="165" fontId="4" fillId="3" borderId="1" pivotButton="0" quotePrefix="0" xfId="0"/>
    <xf numFmtId="164" fontId="4" fillId="3" borderId="1" pivotButton="0" quotePrefix="0" xfId="0"/>
    <xf numFmtId="165" fontId="4" fillId="5" borderId="1" pivotButton="0" quotePrefix="0" xfId="0"/>
    <xf numFmtId="164" fontId="4" fillId="5" borderId="1" pivotButton="0" quotePrefix="0" xfId="0"/>
    <xf numFmtId="0" fontId="3" fillId="2" borderId="1" pivotButton="0" quotePrefix="0" xfId="0"/>
    <xf numFmtId="0" fontId="6" fillId="3" borderId="1" applyAlignment="1" pivotButton="0" quotePrefix="0" xfId="0">
      <alignment vertical="center" indent="1"/>
    </xf>
    <xf numFmtId="164" fontId="7" fillId="5" borderId="1" pivotButton="0" quotePrefix="0" xfId="0"/>
    <xf numFmtId="164" fontId="8" fillId="5" borderId="1" pivotButton="0" quotePrefix="0" xfId="0"/>
    <xf numFmtId="0" fontId="5" fillId="6"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pane ySplit="3" topLeftCell="A4" activePane="bottomLeft" state="frozen"/>
      <selection pane="bottomLeft" activeCell="A1" sqref="A1"/>
    </sheetView>
  </sheetViews>
  <sheetFormatPr baseColWidth="8" defaultRowHeight="15"/>
  <cols>
    <col width="12" customWidth="1" min="1" max="1"/>
    <col width="13" customWidth="1" min="2" max="2"/>
    <col width="16" customWidth="1" min="3" max="3"/>
    <col width="22" customWidth="1" min="4" max="4"/>
    <col width="12" customWidth="1" min="5" max="5"/>
    <col width="13" customWidth="1" min="6" max="6"/>
    <col width="22" customWidth="1" min="7" max="7"/>
  </cols>
  <sheetData>
    <row r="1" ht="30" customHeight="1">
      <c r="A1" s="1" t="inlineStr">
        <is>
          <t>Solecare Glasgow — Income Record</t>
        </is>
      </c>
    </row>
    <row r="2" ht="18" customHeight="1">
      <c r="A2" s="2" t="inlineStr">
        <is>
          <t>Tax year: ___________   |   Sole trader: ___________</t>
        </is>
      </c>
    </row>
    <row r="3">
      <c r="A3" s="3" t="inlineStr">
        <is>
          <t>Invoice No.</t>
        </is>
      </c>
      <c r="B3" s="3" t="inlineStr">
        <is>
          <t>Date Issued</t>
        </is>
      </c>
      <c r="C3" s="3" t="inlineStr">
        <is>
          <t>Patient Ref.</t>
        </is>
      </c>
      <c r="D3" s="3" t="inlineStr">
        <is>
          <t>Service</t>
        </is>
      </c>
      <c r="E3" s="3" t="inlineStr">
        <is>
          <t>Amount £</t>
        </is>
      </c>
      <c r="F3" s="3" t="inlineStr">
        <is>
          <t>Date Paid</t>
        </is>
      </c>
      <c r="G3" s="3" t="inlineStr">
        <is>
          <t>Notes</t>
        </is>
      </c>
    </row>
    <row r="4">
      <c r="A4" s="4" t="n"/>
      <c r="B4" s="4" t="n"/>
      <c r="C4" s="4" t="n"/>
      <c r="D4" s="4" t="n"/>
      <c r="E4" s="4" t="n"/>
      <c r="F4" s="4" t="n"/>
      <c r="G4" s="4" t="n"/>
    </row>
    <row r="5">
      <c r="A5" s="5" t="n"/>
      <c r="B5" s="5" t="n"/>
      <c r="C5" s="5" t="n"/>
      <c r="D5" s="5" t="n"/>
      <c r="E5" s="5" t="n"/>
      <c r="F5" s="5" t="n"/>
      <c r="G5" s="5" t="n"/>
    </row>
    <row r="6">
      <c r="A6" s="4" t="n"/>
      <c r="B6" s="4" t="n"/>
      <c r="C6" s="4" t="n"/>
      <c r="D6" s="4" t="n"/>
      <c r="E6" s="4" t="n"/>
      <c r="F6" s="4" t="n"/>
      <c r="G6" s="4" t="n"/>
    </row>
    <row r="7">
      <c r="A7" s="5" t="n"/>
      <c r="B7" s="5" t="n"/>
      <c r="C7" s="5" t="n"/>
      <c r="D7" s="5" t="n"/>
      <c r="E7" s="5" t="n"/>
      <c r="F7" s="5" t="n"/>
      <c r="G7" s="5" t="n"/>
    </row>
    <row r="8">
      <c r="A8" s="4" t="n"/>
      <c r="B8" s="4" t="n"/>
      <c r="C8" s="4" t="n"/>
      <c r="D8" s="4" t="n"/>
      <c r="E8" s="4" t="n"/>
      <c r="F8" s="4" t="n"/>
      <c r="G8" s="4" t="n"/>
    </row>
    <row r="9">
      <c r="A9" s="5" t="n"/>
      <c r="B9" s="5" t="n"/>
      <c r="C9" s="5" t="n"/>
      <c r="D9" s="5" t="n"/>
      <c r="E9" s="5" t="n"/>
      <c r="F9" s="5" t="n"/>
      <c r="G9" s="5" t="n"/>
    </row>
    <row r="10">
      <c r="A10" s="4" t="n"/>
      <c r="B10" s="4" t="n"/>
      <c r="C10" s="4" t="n"/>
      <c r="D10" s="4" t="n"/>
      <c r="E10" s="4" t="n"/>
      <c r="F10" s="4" t="n"/>
      <c r="G10" s="4" t="n"/>
    </row>
    <row r="11">
      <c r="A11" s="5" t="n"/>
      <c r="B11" s="5" t="n"/>
      <c r="C11" s="5" t="n"/>
      <c r="D11" s="5" t="n"/>
      <c r="E11" s="5" t="n"/>
      <c r="F11" s="5" t="n"/>
      <c r="G11" s="5" t="n"/>
    </row>
    <row r="12">
      <c r="A12" s="4" t="n"/>
      <c r="B12" s="4" t="n"/>
      <c r="C12" s="4" t="n"/>
      <c r="D12" s="4" t="n"/>
      <c r="E12" s="4" t="n"/>
      <c r="F12" s="4" t="n"/>
      <c r="G12" s="4" t="n"/>
    </row>
    <row r="13">
      <c r="A13" s="5" t="n"/>
      <c r="B13" s="5" t="n"/>
      <c r="C13" s="5" t="n"/>
      <c r="D13" s="5" t="n"/>
      <c r="E13" s="5" t="n"/>
      <c r="F13" s="5" t="n"/>
      <c r="G13" s="5" t="n"/>
    </row>
    <row r="14">
      <c r="A14" s="4" t="n"/>
      <c r="B14" s="4" t="n"/>
      <c r="C14" s="4" t="n"/>
      <c r="D14" s="4" t="n"/>
      <c r="E14" s="4" t="n"/>
      <c r="F14" s="4" t="n"/>
      <c r="G14" s="4" t="n"/>
    </row>
    <row r="15">
      <c r="A15" s="5" t="n"/>
      <c r="B15" s="5" t="n"/>
      <c r="C15" s="5" t="n"/>
      <c r="D15" s="5" t="n"/>
      <c r="E15" s="5" t="n"/>
      <c r="F15" s="5" t="n"/>
      <c r="G15" s="5" t="n"/>
    </row>
    <row r="16">
      <c r="A16" s="4" t="n"/>
      <c r="B16" s="4" t="n"/>
      <c r="C16" s="4" t="n"/>
      <c r="D16" s="4" t="n"/>
      <c r="E16" s="4" t="n"/>
      <c r="F16" s="4" t="n"/>
      <c r="G16" s="4" t="n"/>
    </row>
    <row r="17">
      <c r="A17" s="5" t="n"/>
      <c r="B17" s="5" t="n"/>
      <c r="C17" s="5" t="n"/>
      <c r="D17" s="5" t="n"/>
      <c r="E17" s="5" t="n"/>
      <c r="F17" s="5" t="n"/>
      <c r="G17" s="5" t="n"/>
    </row>
    <row r="18">
      <c r="A18" s="4" t="n"/>
      <c r="B18" s="4" t="n"/>
      <c r="C18" s="4" t="n"/>
      <c r="D18" s="4" t="n"/>
      <c r="E18" s="4" t="n"/>
      <c r="F18" s="4" t="n"/>
      <c r="G18" s="4" t="n"/>
    </row>
    <row r="19">
      <c r="A19" s="5" t="n"/>
      <c r="B19" s="5" t="n"/>
      <c r="C19" s="5" t="n"/>
      <c r="D19" s="5" t="n"/>
      <c r="E19" s="5" t="n"/>
      <c r="F19" s="5" t="n"/>
      <c r="G19" s="5" t="n"/>
    </row>
    <row r="20">
      <c r="A20" s="4" t="n"/>
      <c r="B20" s="4" t="n"/>
      <c r="C20" s="4" t="n"/>
      <c r="D20" s="4" t="n"/>
      <c r="E20" s="4" t="n"/>
      <c r="F20" s="4" t="n"/>
      <c r="G20" s="4" t="n"/>
    </row>
    <row r="21">
      <c r="A21" s="5" t="n"/>
      <c r="B21" s="5" t="n"/>
      <c r="C21" s="5" t="n"/>
      <c r="D21" s="5" t="n"/>
      <c r="E21" s="5" t="n"/>
      <c r="F21" s="5" t="n"/>
      <c r="G21" s="5" t="n"/>
    </row>
    <row r="22">
      <c r="A22" s="4" t="n"/>
      <c r="B22" s="4" t="n"/>
      <c r="C22" s="4" t="n"/>
      <c r="D22" s="4" t="n"/>
      <c r="E22" s="4" t="n"/>
      <c r="F22" s="4" t="n"/>
      <c r="G22" s="4" t="n"/>
    </row>
    <row r="23">
      <c r="A23" s="5" t="n"/>
      <c r="B23" s="5" t="n"/>
      <c r="C23" s="5" t="n"/>
      <c r="D23" s="5" t="n"/>
      <c r="E23" s="5" t="n"/>
      <c r="F23" s="5" t="n"/>
      <c r="G23" s="5" t="n"/>
    </row>
    <row r="24">
      <c r="A24" s="4" t="n"/>
      <c r="B24" s="4" t="n"/>
      <c r="C24" s="4" t="n"/>
      <c r="D24" s="4" t="n"/>
      <c r="E24" s="4" t="n"/>
      <c r="F24" s="4" t="n"/>
      <c r="G24" s="4" t="n"/>
    </row>
    <row r="25">
      <c r="A25" s="5" t="n"/>
      <c r="B25" s="5" t="n"/>
      <c r="C25" s="5" t="n"/>
      <c r="D25" s="5" t="n"/>
      <c r="E25" s="5" t="n"/>
      <c r="F25" s="5" t="n"/>
      <c r="G25" s="5" t="n"/>
    </row>
    <row r="26">
      <c r="A26" s="4" t="n"/>
      <c r="B26" s="4" t="n"/>
      <c r="C26" s="4" t="n"/>
      <c r="D26" s="4" t="n"/>
      <c r="E26" s="4" t="n"/>
      <c r="F26" s="4" t="n"/>
      <c r="G26" s="4" t="n"/>
    </row>
    <row r="27">
      <c r="A27" s="5" t="n"/>
      <c r="B27" s="5" t="n"/>
      <c r="C27" s="5" t="n"/>
      <c r="D27" s="5" t="n"/>
      <c r="E27" s="5" t="n"/>
      <c r="F27" s="5" t="n"/>
      <c r="G27" s="5" t="n"/>
    </row>
    <row r="28">
      <c r="A28" s="4" t="n"/>
      <c r="B28" s="4" t="n"/>
      <c r="C28" s="4" t="n"/>
      <c r="D28" s="4" t="n"/>
      <c r="E28" s="4" t="n"/>
      <c r="F28" s="4" t="n"/>
      <c r="G28" s="4" t="n"/>
    </row>
    <row r="29">
      <c r="A29" s="5" t="n"/>
      <c r="B29" s="5" t="n"/>
      <c r="C29" s="5" t="n"/>
      <c r="D29" s="5" t="n"/>
      <c r="E29" s="5" t="n"/>
      <c r="F29" s="5" t="n"/>
      <c r="G29" s="5" t="n"/>
    </row>
    <row r="30">
      <c r="A30" s="4" t="n"/>
      <c r="B30" s="4" t="n"/>
      <c r="C30" s="4" t="n"/>
      <c r="D30" s="4" t="n"/>
      <c r="E30" s="4" t="n"/>
      <c r="F30" s="4" t="n"/>
      <c r="G30" s="4" t="n"/>
    </row>
    <row r="31">
      <c r="A31" s="5" t="n"/>
      <c r="B31" s="5" t="n"/>
      <c r="C31" s="5" t="n"/>
      <c r="D31" s="5" t="n"/>
      <c r="E31" s="5" t="n"/>
      <c r="F31" s="5" t="n"/>
      <c r="G31" s="5" t="n"/>
    </row>
    <row r="32">
      <c r="A32" s="4" t="n"/>
      <c r="B32" s="4" t="n"/>
      <c r="C32" s="4" t="n"/>
      <c r="D32" s="4" t="n"/>
      <c r="E32" s="4" t="n"/>
      <c r="F32" s="4" t="n"/>
      <c r="G32" s="4" t="n"/>
    </row>
    <row r="33">
      <c r="A33" s="5" t="n"/>
      <c r="B33" s="5" t="n"/>
      <c r="C33" s="5" t="n"/>
      <c r="D33" s="5" t="n"/>
      <c r="E33" s="5" t="n"/>
      <c r="F33" s="5" t="n"/>
      <c r="G33" s="5" t="n"/>
    </row>
    <row r="34">
      <c r="A34" s="4" t="n"/>
      <c r="B34" s="4" t="n"/>
      <c r="C34" s="4" t="n"/>
      <c r="D34" s="4" t="n"/>
      <c r="E34" s="4" t="n"/>
      <c r="F34" s="4" t="n"/>
      <c r="G34" s="4" t="n"/>
    </row>
    <row r="35">
      <c r="A35" s="5" t="n"/>
      <c r="B35" s="5" t="n"/>
      <c r="C35" s="5" t="n"/>
      <c r="D35" s="5" t="n"/>
      <c r="E35" s="5" t="n"/>
      <c r="F35" s="5" t="n"/>
      <c r="G35" s="5" t="n"/>
    </row>
    <row r="36">
      <c r="A36" s="4" t="n"/>
      <c r="B36" s="4" t="n"/>
      <c r="C36" s="4" t="n"/>
      <c r="D36" s="4" t="n"/>
      <c r="E36" s="4" t="n"/>
      <c r="F36" s="4" t="n"/>
      <c r="G36" s="4" t="n"/>
    </row>
    <row r="37">
      <c r="A37" s="5" t="n"/>
      <c r="B37" s="5" t="n"/>
      <c r="C37" s="5" t="n"/>
      <c r="D37" s="5" t="n"/>
      <c r="E37" s="5" t="n"/>
      <c r="F37" s="5" t="n"/>
      <c r="G37" s="5" t="n"/>
    </row>
    <row r="38">
      <c r="A38" s="4" t="n"/>
      <c r="B38" s="4" t="n"/>
      <c r="C38" s="4" t="n"/>
      <c r="D38" s="4" t="n"/>
      <c r="E38" s="4" t="n"/>
      <c r="F38" s="4" t="n"/>
      <c r="G38" s="4" t="n"/>
    </row>
    <row r="39">
      <c r="A39" s="5" t="n"/>
      <c r="B39" s="5" t="n"/>
      <c r="C39" s="5" t="n"/>
      <c r="D39" s="5" t="n"/>
      <c r="E39" s="5" t="n"/>
      <c r="F39" s="5" t="n"/>
      <c r="G39" s="5" t="n"/>
    </row>
    <row r="40">
      <c r="A40" s="4" t="n"/>
      <c r="B40" s="4" t="n"/>
      <c r="C40" s="4" t="n"/>
      <c r="D40" s="4" t="n"/>
      <c r="E40" s="4" t="n"/>
      <c r="F40" s="4" t="n"/>
      <c r="G40" s="4" t="n"/>
    </row>
    <row r="41">
      <c r="A41" s="5" t="n"/>
      <c r="B41" s="5" t="n"/>
      <c r="C41" s="5" t="n"/>
      <c r="D41" s="5" t="n"/>
      <c r="E41" s="5" t="n"/>
      <c r="F41" s="5" t="n"/>
      <c r="G41" s="5" t="n"/>
    </row>
    <row r="42">
      <c r="A42" s="4" t="n"/>
      <c r="B42" s="4" t="n"/>
      <c r="C42" s="4" t="n"/>
      <c r="D42" s="4" t="n"/>
      <c r="E42" s="4" t="n"/>
      <c r="F42" s="4" t="n"/>
      <c r="G42" s="4" t="n"/>
    </row>
    <row r="43">
      <c r="A43" s="5" t="n"/>
      <c r="B43" s="5" t="n"/>
      <c r="C43" s="5" t="n"/>
      <c r="D43" s="5" t="n"/>
      <c r="E43" s="5" t="n"/>
      <c r="F43" s="5" t="n"/>
      <c r="G43" s="5" t="n"/>
    </row>
    <row r="44">
      <c r="A44" s="4" t="n"/>
      <c r="B44" s="4" t="n"/>
      <c r="C44" s="4" t="n"/>
      <c r="D44" s="4" t="n"/>
      <c r="E44" s="4" t="n"/>
      <c r="F44" s="4" t="n"/>
      <c r="G44" s="4" t="n"/>
    </row>
    <row r="45">
      <c r="A45" s="5" t="n"/>
      <c r="B45" s="5" t="n"/>
      <c r="C45" s="5" t="n"/>
      <c r="D45" s="5" t="n"/>
      <c r="E45" s="5" t="n"/>
      <c r="F45" s="5" t="n"/>
      <c r="G45" s="5" t="n"/>
    </row>
    <row r="46">
      <c r="A46" s="4" t="n"/>
      <c r="B46" s="4" t="n"/>
      <c r="C46" s="4" t="n"/>
      <c r="D46" s="4" t="n"/>
      <c r="E46" s="4" t="n"/>
      <c r="F46" s="4" t="n"/>
      <c r="G46" s="4" t="n"/>
    </row>
    <row r="47">
      <c r="A47" s="5" t="n"/>
      <c r="B47" s="5" t="n"/>
      <c r="C47" s="5" t="n"/>
      <c r="D47" s="5" t="n"/>
      <c r="E47" s="5" t="n"/>
      <c r="F47" s="5" t="n"/>
      <c r="G47" s="5" t="n"/>
    </row>
    <row r="48">
      <c r="A48" s="4" t="n"/>
      <c r="B48" s="4" t="n"/>
      <c r="C48" s="4" t="n"/>
      <c r="D48" s="4" t="n"/>
      <c r="E48" s="4" t="n"/>
      <c r="F48" s="4" t="n"/>
      <c r="G48" s="4" t="n"/>
    </row>
    <row r="49">
      <c r="A49" s="5" t="n"/>
      <c r="B49" s="5" t="n"/>
      <c r="C49" s="5" t="n"/>
      <c r="D49" s="5" t="n"/>
      <c r="E49" s="5" t="n"/>
      <c r="F49" s="5" t="n"/>
      <c r="G49" s="5" t="n"/>
    </row>
    <row r="50">
      <c r="A50" s="4" t="n"/>
      <c r="B50" s="4" t="n"/>
      <c r="C50" s="4" t="n"/>
      <c r="D50" s="4" t="n"/>
      <c r="E50" s="4" t="n"/>
      <c r="F50" s="4" t="n"/>
      <c r="G50" s="4" t="n"/>
    </row>
    <row r="51">
      <c r="A51" s="5" t="n"/>
      <c r="B51" s="5" t="n"/>
      <c r="C51" s="5" t="n"/>
      <c r="D51" s="5" t="n"/>
      <c r="E51" s="5" t="n"/>
      <c r="F51" s="5" t="n"/>
      <c r="G51" s="5" t="n"/>
    </row>
    <row r="52">
      <c r="A52" s="4" t="n"/>
      <c r="B52" s="4" t="n"/>
      <c r="C52" s="4" t="n"/>
      <c r="D52" s="4" t="n"/>
      <c r="E52" s="4" t="n"/>
      <c r="F52" s="4" t="n"/>
      <c r="G52" s="4" t="n"/>
    </row>
    <row r="53">
      <c r="A53" s="5" t="n"/>
      <c r="B53" s="5" t="n"/>
      <c r="C53" s="5" t="n"/>
      <c r="D53" s="5" t="n"/>
      <c r="E53" s="5" t="n"/>
      <c r="F53" s="5" t="n"/>
      <c r="G53" s="5" t="n"/>
    </row>
    <row r="54">
      <c r="A54" s="6" t="inlineStr">
        <is>
          <t>TOTAL INCOME</t>
        </is>
      </c>
      <c r="E54" s="7">
        <f>SUM(E4:E53)</f>
        <v/>
      </c>
      <c r="F54" s="8" t="inlineStr">
        <is>
          <t>Auto-sum of column E</t>
        </is>
      </c>
      <c r="G54" s="9" t="n"/>
    </row>
  </sheetData>
  <mergeCells count="3">
    <mergeCell ref="A2:G2"/>
    <mergeCell ref="A1:G1"/>
    <mergeCell ref="A54:D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pane ySplit="3" topLeftCell="A4" activePane="bottomLeft" state="frozen"/>
      <selection pane="bottomLeft" activeCell="A1" sqref="A1"/>
    </sheetView>
  </sheetViews>
  <sheetFormatPr baseColWidth="8" defaultRowHeight="15"/>
  <cols>
    <col width="13" customWidth="1" min="1" max="1"/>
    <col width="28" customWidth="1" min="2" max="2"/>
    <col width="22" customWidth="1" min="3" max="3"/>
    <col width="12" customWidth="1" min="4" max="4"/>
    <col width="14" customWidth="1" min="5" max="5"/>
    <col width="22" customWidth="1" min="6" max="6"/>
  </cols>
  <sheetData>
    <row r="1" ht="30" customHeight="1">
      <c r="A1" s="1" t="inlineStr">
        <is>
          <t>Solecare Glasgow — Expenses Record</t>
        </is>
      </c>
    </row>
    <row r="2" ht="18" customHeight="1">
      <c r="A2" s="2" t="inlineStr">
        <is>
          <t>Retain all receipts. HMRC requires 5-year retention after filing.</t>
        </is>
      </c>
    </row>
    <row r="3">
      <c r="A3" s="3" t="inlineStr">
        <is>
          <t>Date</t>
        </is>
      </c>
      <c r="B3" s="3" t="inlineStr">
        <is>
          <t>Supplier / Description</t>
        </is>
      </c>
      <c r="C3" s="3" t="inlineStr">
        <is>
          <t>Category</t>
        </is>
      </c>
      <c r="D3" s="3" t="inlineStr">
        <is>
          <t>Amount £</t>
        </is>
      </c>
      <c r="E3" s="3" t="inlineStr">
        <is>
          <t>Receipt ref.</t>
        </is>
      </c>
      <c r="F3" s="3" t="inlineStr">
        <is>
          <t>Notes</t>
        </is>
      </c>
    </row>
    <row r="4">
      <c r="A4" s="4" t="n"/>
      <c r="B4" s="4" t="n"/>
      <c r="C4" s="4" t="n"/>
      <c r="D4" s="4" t="n"/>
      <c r="E4" s="4" t="n"/>
      <c r="F4" s="4" t="n"/>
    </row>
    <row r="5">
      <c r="A5" s="5" t="n"/>
      <c r="B5" s="5" t="n"/>
      <c r="C5" s="5" t="n"/>
      <c r="D5" s="5" t="n"/>
      <c r="E5" s="5" t="n"/>
      <c r="F5" s="5" t="n"/>
    </row>
    <row r="6">
      <c r="A6" s="4" t="n"/>
      <c r="B6" s="4" t="n"/>
      <c r="C6" s="4" t="n"/>
      <c r="D6" s="4" t="n"/>
      <c r="E6" s="4" t="n"/>
      <c r="F6" s="4" t="n"/>
    </row>
    <row r="7">
      <c r="A7" s="5" t="n"/>
      <c r="B7" s="5" t="n"/>
      <c r="C7" s="5" t="n"/>
      <c r="D7" s="5" t="n"/>
      <c r="E7" s="5" t="n"/>
      <c r="F7" s="5" t="n"/>
    </row>
    <row r="8">
      <c r="A8" s="4" t="n"/>
      <c r="B8" s="4" t="n"/>
      <c r="C8" s="4" t="n"/>
      <c r="D8" s="4" t="n"/>
      <c r="E8" s="4" t="n"/>
      <c r="F8" s="4" t="n"/>
    </row>
    <row r="9">
      <c r="A9" s="5" t="n"/>
      <c r="B9" s="5" t="n"/>
      <c r="C9" s="5" t="n"/>
      <c r="D9" s="5" t="n"/>
      <c r="E9" s="5" t="n"/>
      <c r="F9" s="5" t="n"/>
    </row>
    <row r="10">
      <c r="A10" s="4" t="n"/>
      <c r="B10" s="4" t="n"/>
      <c r="C10" s="4" t="n"/>
      <c r="D10" s="4" t="n"/>
      <c r="E10" s="4" t="n"/>
      <c r="F10" s="4" t="n"/>
    </row>
    <row r="11">
      <c r="A11" s="5" t="n"/>
      <c r="B11" s="5" t="n"/>
      <c r="C11" s="5" t="n"/>
      <c r="D11" s="5" t="n"/>
      <c r="E11" s="5" t="n"/>
      <c r="F11" s="5" t="n"/>
    </row>
    <row r="12">
      <c r="A12" s="4" t="n"/>
      <c r="B12" s="4" t="n"/>
      <c r="C12" s="4" t="n"/>
      <c r="D12" s="4" t="n"/>
      <c r="E12" s="4" t="n"/>
      <c r="F12" s="4" t="n"/>
    </row>
    <row r="13">
      <c r="A13" s="5" t="n"/>
      <c r="B13" s="5" t="n"/>
      <c r="C13" s="5" t="n"/>
      <c r="D13" s="5" t="n"/>
      <c r="E13" s="5" t="n"/>
      <c r="F13" s="5" t="n"/>
    </row>
    <row r="14">
      <c r="A14" s="4" t="n"/>
      <c r="B14" s="4" t="n"/>
      <c r="C14" s="4" t="n"/>
      <c r="D14" s="4" t="n"/>
      <c r="E14" s="4" t="n"/>
      <c r="F14" s="4" t="n"/>
    </row>
    <row r="15">
      <c r="A15" s="5" t="n"/>
      <c r="B15" s="5" t="n"/>
      <c r="C15" s="5" t="n"/>
      <c r="D15" s="5" t="n"/>
      <c r="E15" s="5" t="n"/>
      <c r="F15" s="5" t="n"/>
    </row>
    <row r="16">
      <c r="A16" s="4" t="n"/>
      <c r="B16" s="4" t="n"/>
      <c r="C16" s="4" t="n"/>
      <c r="D16" s="4" t="n"/>
      <c r="E16" s="4" t="n"/>
      <c r="F16" s="4" t="n"/>
    </row>
    <row r="17">
      <c r="A17" s="5" t="n"/>
      <c r="B17" s="5" t="n"/>
      <c r="C17" s="5" t="n"/>
      <c r="D17" s="5" t="n"/>
      <c r="E17" s="5" t="n"/>
      <c r="F17" s="5" t="n"/>
    </row>
    <row r="18">
      <c r="A18" s="4" t="n"/>
      <c r="B18" s="4" t="n"/>
      <c r="C18" s="4" t="n"/>
      <c r="D18" s="4" t="n"/>
      <c r="E18" s="4" t="n"/>
      <c r="F18" s="4" t="n"/>
    </row>
    <row r="19">
      <c r="A19" s="5" t="n"/>
      <c r="B19" s="5" t="n"/>
      <c r="C19" s="5" t="n"/>
      <c r="D19" s="5" t="n"/>
      <c r="E19" s="5" t="n"/>
      <c r="F19" s="5" t="n"/>
    </row>
    <row r="20">
      <c r="A20" s="4" t="n"/>
      <c r="B20" s="4" t="n"/>
      <c r="C20" s="4" t="n"/>
      <c r="D20" s="4" t="n"/>
      <c r="E20" s="4" t="n"/>
      <c r="F20" s="4" t="n"/>
    </row>
    <row r="21">
      <c r="A21" s="5" t="n"/>
      <c r="B21" s="5" t="n"/>
      <c r="C21" s="5" t="n"/>
      <c r="D21" s="5" t="n"/>
      <c r="E21" s="5" t="n"/>
      <c r="F21" s="5" t="n"/>
    </row>
    <row r="22">
      <c r="A22" s="4" t="n"/>
      <c r="B22" s="4" t="n"/>
      <c r="C22" s="4" t="n"/>
      <c r="D22" s="4" t="n"/>
      <c r="E22" s="4" t="n"/>
      <c r="F22" s="4" t="n"/>
    </row>
    <row r="23">
      <c r="A23" s="5" t="n"/>
      <c r="B23" s="5" t="n"/>
      <c r="C23" s="5" t="n"/>
      <c r="D23" s="5" t="n"/>
      <c r="E23" s="5" t="n"/>
      <c r="F23" s="5" t="n"/>
    </row>
    <row r="24">
      <c r="A24" s="4" t="n"/>
      <c r="B24" s="4" t="n"/>
      <c r="C24" s="4" t="n"/>
      <c r="D24" s="4" t="n"/>
      <c r="E24" s="4" t="n"/>
      <c r="F24" s="4" t="n"/>
    </row>
    <row r="25">
      <c r="A25" s="5" t="n"/>
      <c r="B25" s="5" t="n"/>
      <c r="C25" s="5" t="n"/>
      <c r="D25" s="5" t="n"/>
      <c r="E25" s="5" t="n"/>
      <c r="F25" s="5" t="n"/>
    </row>
    <row r="26">
      <c r="A26" s="4" t="n"/>
      <c r="B26" s="4" t="n"/>
      <c r="C26" s="4" t="n"/>
      <c r="D26" s="4" t="n"/>
      <c r="E26" s="4" t="n"/>
      <c r="F26" s="4" t="n"/>
    </row>
    <row r="27">
      <c r="A27" s="5" t="n"/>
      <c r="B27" s="5" t="n"/>
      <c r="C27" s="5" t="n"/>
      <c r="D27" s="5" t="n"/>
      <c r="E27" s="5" t="n"/>
      <c r="F27" s="5" t="n"/>
    </row>
    <row r="28">
      <c r="A28" s="4" t="n"/>
      <c r="B28" s="4" t="n"/>
      <c r="C28" s="4" t="n"/>
      <c r="D28" s="4" t="n"/>
      <c r="E28" s="4" t="n"/>
      <c r="F28" s="4" t="n"/>
    </row>
    <row r="29">
      <c r="A29" s="5" t="n"/>
      <c r="B29" s="5" t="n"/>
      <c r="C29" s="5" t="n"/>
      <c r="D29" s="5" t="n"/>
      <c r="E29" s="5" t="n"/>
      <c r="F29" s="5" t="n"/>
    </row>
    <row r="30">
      <c r="A30" s="4" t="n"/>
      <c r="B30" s="4" t="n"/>
      <c r="C30" s="4" t="n"/>
      <c r="D30" s="4" t="n"/>
      <c r="E30" s="4" t="n"/>
      <c r="F30" s="4" t="n"/>
    </row>
    <row r="31">
      <c r="A31" s="5" t="n"/>
      <c r="B31" s="5" t="n"/>
      <c r="C31" s="5" t="n"/>
      <c r="D31" s="5" t="n"/>
      <c r="E31" s="5" t="n"/>
      <c r="F31" s="5" t="n"/>
    </row>
    <row r="32">
      <c r="A32" s="4" t="n"/>
      <c r="B32" s="4" t="n"/>
      <c r="C32" s="4" t="n"/>
      <c r="D32" s="4" t="n"/>
      <c r="E32" s="4" t="n"/>
      <c r="F32" s="4" t="n"/>
    </row>
    <row r="33">
      <c r="A33" s="5" t="n"/>
      <c r="B33" s="5" t="n"/>
      <c r="C33" s="5" t="n"/>
      <c r="D33" s="5" t="n"/>
      <c r="E33" s="5" t="n"/>
      <c r="F33" s="5" t="n"/>
    </row>
    <row r="34">
      <c r="A34" s="4" t="n"/>
      <c r="B34" s="4" t="n"/>
      <c r="C34" s="4" t="n"/>
      <c r="D34" s="4" t="n"/>
      <c r="E34" s="4" t="n"/>
      <c r="F34" s="4" t="n"/>
    </row>
    <row r="35">
      <c r="A35" s="5" t="n"/>
      <c r="B35" s="5" t="n"/>
      <c r="C35" s="5" t="n"/>
      <c r="D35" s="5" t="n"/>
      <c r="E35" s="5" t="n"/>
      <c r="F35" s="5" t="n"/>
    </row>
    <row r="36">
      <c r="A36" s="4" t="n"/>
      <c r="B36" s="4" t="n"/>
      <c r="C36" s="4" t="n"/>
      <c r="D36" s="4" t="n"/>
      <c r="E36" s="4" t="n"/>
      <c r="F36" s="4" t="n"/>
    </row>
    <row r="37">
      <c r="A37" s="5" t="n"/>
      <c r="B37" s="5" t="n"/>
      <c r="C37" s="5" t="n"/>
      <c r="D37" s="5" t="n"/>
      <c r="E37" s="5" t="n"/>
      <c r="F37" s="5" t="n"/>
    </row>
    <row r="38">
      <c r="A38" s="4" t="n"/>
      <c r="B38" s="4" t="n"/>
      <c r="C38" s="4" t="n"/>
      <c r="D38" s="4" t="n"/>
      <c r="E38" s="4" t="n"/>
      <c r="F38" s="4" t="n"/>
    </row>
    <row r="39">
      <c r="A39" s="5" t="n"/>
      <c r="B39" s="5" t="n"/>
      <c r="C39" s="5" t="n"/>
      <c r="D39" s="5" t="n"/>
      <c r="E39" s="5" t="n"/>
      <c r="F39" s="5" t="n"/>
    </row>
    <row r="40">
      <c r="A40" s="4" t="n"/>
      <c r="B40" s="4" t="n"/>
      <c r="C40" s="4" t="n"/>
      <c r="D40" s="4" t="n"/>
      <c r="E40" s="4" t="n"/>
      <c r="F40" s="4" t="n"/>
    </row>
    <row r="41">
      <c r="A41" s="5" t="n"/>
      <c r="B41" s="5" t="n"/>
      <c r="C41" s="5" t="n"/>
      <c r="D41" s="5" t="n"/>
      <c r="E41" s="5" t="n"/>
      <c r="F41" s="5" t="n"/>
    </row>
    <row r="42">
      <c r="A42" s="4" t="n"/>
      <c r="B42" s="4" t="n"/>
      <c r="C42" s="4" t="n"/>
      <c r="D42" s="4" t="n"/>
      <c r="E42" s="4" t="n"/>
      <c r="F42" s="4" t="n"/>
    </row>
    <row r="43">
      <c r="A43" s="5" t="n"/>
      <c r="B43" s="5" t="n"/>
      <c r="C43" s="5" t="n"/>
      <c r="D43" s="5" t="n"/>
      <c r="E43" s="5" t="n"/>
      <c r="F43" s="5" t="n"/>
    </row>
    <row r="44">
      <c r="A44" s="4" t="n"/>
      <c r="B44" s="4" t="n"/>
      <c r="C44" s="4" t="n"/>
      <c r="D44" s="4" t="n"/>
      <c r="E44" s="4" t="n"/>
      <c r="F44" s="4" t="n"/>
    </row>
    <row r="45">
      <c r="A45" s="5" t="n"/>
      <c r="B45" s="5" t="n"/>
      <c r="C45" s="5" t="n"/>
      <c r="D45" s="5" t="n"/>
      <c r="E45" s="5" t="n"/>
      <c r="F45" s="5" t="n"/>
    </row>
    <row r="46">
      <c r="A46" s="4" t="n"/>
      <c r="B46" s="4" t="n"/>
      <c r="C46" s="4" t="n"/>
      <c r="D46" s="4" t="n"/>
      <c r="E46" s="4" t="n"/>
      <c r="F46" s="4" t="n"/>
    </row>
    <row r="47">
      <c r="A47" s="5" t="n"/>
      <c r="B47" s="5" t="n"/>
      <c r="C47" s="5" t="n"/>
      <c r="D47" s="5" t="n"/>
      <c r="E47" s="5" t="n"/>
      <c r="F47" s="5" t="n"/>
    </row>
    <row r="48">
      <c r="A48" s="4" t="n"/>
      <c r="B48" s="4" t="n"/>
      <c r="C48" s="4" t="n"/>
      <c r="D48" s="4" t="n"/>
      <c r="E48" s="4" t="n"/>
      <c r="F48" s="4" t="n"/>
    </row>
    <row r="49">
      <c r="A49" s="5" t="n"/>
      <c r="B49" s="5" t="n"/>
      <c r="C49" s="5" t="n"/>
      <c r="D49" s="5" t="n"/>
      <c r="E49" s="5" t="n"/>
      <c r="F49" s="5" t="n"/>
    </row>
    <row r="50">
      <c r="A50" s="4" t="n"/>
      <c r="B50" s="4" t="n"/>
      <c r="C50" s="4" t="n"/>
      <c r="D50" s="4" t="n"/>
      <c r="E50" s="4" t="n"/>
      <c r="F50" s="4" t="n"/>
    </row>
    <row r="51">
      <c r="A51" s="5" t="n"/>
      <c r="B51" s="5" t="n"/>
      <c r="C51" s="5" t="n"/>
      <c r="D51" s="5" t="n"/>
      <c r="E51" s="5" t="n"/>
      <c r="F51" s="5" t="n"/>
    </row>
    <row r="52">
      <c r="A52" s="4" t="n"/>
      <c r="B52" s="4" t="n"/>
      <c r="C52" s="4" t="n"/>
      <c r="D52" s="4" t="n"/>
      <c r="E52" s="4" t="n"/>
      <c r="F52" s="4" t="n"/>
    </row>
    <row r="53">
      <c r="A53" s="5" t="n"/>
      <c r="B53" s="5" t="n"/>
      <c r="C53" s="5" t="n"/>
      <c r="D53" s="5" t="n"/>
      <c r="E53" s="5" t="n"/>
      <c r="F53" s="5" t="n"/>
    </row>
    <row r="54">
      <c r="A54" s="6" t="inlineStr">
        <is>
          <t>TOTAL EXPENSES</t>
        </is>
      </c>
      <c r="D54" s="7">
        <f>SUM(D4:D53)</f>
        <v/>
      </c>
      <c r="E54" s="9" t="n"/>
      <c r="F54" s="9" t="n"/>
    </row>
  </sheetData>
  <mergeCells count="3">
    <mergeCell ref="A2:F2"/>
    <mergeCell ref="A1:F1"/>
    <mergeCell ref="A54:C54"/>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"HCPC/RCPod fees,Insurance,CPD,Instruments &amp; consumables,PPE,Clinical waste,Business email/software,Vehicle — mileage,Vehicle — equipment,Medicines storage,Lone worker app,Home office,Other"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4"/>
  <sheetViews>
    <sheetView workbookViewId="0">
      <pane ySplit="3" topLeftCell="A4" activePane="bottomLeft" state="frozen"/>
      <selection pane="bottomLeft" activeCell="A1" sqref="A1"/>
    </sheetView>
  </sheetViews>
  <sheetFormatPr baseColWidth="8" defaultRowHeight="15"/>
  <cols>
    <col width="13" customWidth="1" min="1" max="1"/>
    <col width="20" customWidth="1" min="2" max="2"/>
    <col width="28" customWidth="1" min="3" max="3"/>
    <col width="22" customWidth="1" min="4" max="4"/>
    <col width="10" customWidth="1" min="5" max="5"/>
    <col width="10" customWidth="1" min="6" max="6"/>
    <col width="13" customWidth="1" min="7" max="7"/>
  </cols>
  <sheetData>
    <row r="1" ht="30" customHeight="1">
      <c r="A1" s="1" t="inlineStr">
        <is>
          <t>Solecare Glasgow — Mileage Log</t>
        </is>
      </c>
    </row>
    <row r="2" ht="18" customHeight="1">
      <c r="A2" s="2" t="inlineStr">
        <is>
          <t>45p/mile (first 10,000 business miles per tax year), then 25p/mile. Log every journey contemporaneously.</t>
        </is>
      </c>
    </row>
    <row r="3">
      <c r="A3" s="3" t="inlineStr">
        <is>
          <t>Date</t>
        </is>
      </c>
      <c r="B3" s="3" t="inlineStr">
        <is>
          <t>Start point</t>
        </is>
      </c>
      <c r="C3" s="3" t="inlineStr">
        <is>
          <t>Destination / Patient postcode</t>
        </is>
      </c>
      <c r="D3" s="3" t="inlineStr">
        <is>
          <t>Purpose</t>
        </is>
      </c>
      <c r="E3" s="3" t="inlineStr">
        <is>
          <t>Miles</t>
        </is>
      </c>
      <c r="F3" s="3" t="inlineStr">
        <is>
          <t>Rate</t>
        </is>
      </c>
      <c r="G3" s="3" t="inlineStr">
        <is>
          <t>Allowable £</t>
        </is>
      </c>
    </row>
    <row r="4">
      <c r="A4" s="4" t="n"/>
      <c r="B4" s="4" t="n"/>
      <c r="C4" s="4" t="n"/>
      <c r="D4" s="4" t="n"/>
      <c r="E4" s="4" t="n"/>
      <c r="F4" s="10">
        <f>IF(SUM($E$4:E4)&gt;10000,0.25,0.45)</f>
        <v/>
      </c>
      <c r="G4" s="11">
        <f>IF(E4="","",E4*F4)</f>
        <v/>
      </c>
    </row>
    <row r="5">
      <c r="A5" s="5" t="n"/>
      <c r="B5" s="5" t="n"/>
      <c r="C5" s="5" t="n"/>
      <c r="D5" s="5" t="n"/>
      <c r="E5" s="5" t="n"/>
      <c r="F5" s="12">
        <f>IF(SUM($E$4:E5)&gt;10000,0.25,0.45)</f>
        <v/>
      </c>
      <c r="G5" s="13">
        <f>IF(E5="","",E5*F5)</f>
        <v/>
      </c>
    </row>
    <row r="6">
      <c r="A6" s="4" t="n"/>
      <c r="B6" s="4" t="n"/>
      <c r="C6" s="4" t="n"/>
      <c r="D6" s="4" t="n"/>
      <c r="E6" s="4" t="n"/>
      <c r="F6" s="10">
        <f>IF(SUM($E$4:E6)&gt;10000,0.25,0.45)</f>
        <v/>
      </c>
      <c r="G6" s="11">
        <f>IF(E6="","",E6*F6)</f>
        <v/>
      </c>
    </row>
    <row r="7">
      <c r="A7" s="5" t="n"/>
      <c r="B7" s="5" t="n"/>
      <c r="C7" s="5" t="n"/>
      <c r="D7" s="5" t="n"/>
      <c r="E7" s="5" t="n"/>
      <c r="F7" s="12">
        <f>IF(SUM($E$4:E7)&gt;10000,0.25,0.45)</f>
        <v/>
      </c>
      <c r="G7" s="13">
        <f>IF(E7="","",E7*F7)</f>
        <v/>
      </c>
    </row>
    <row r="8">
      <c r="A8" s="4" t="n"/>
      <c r="B8" s="4" t="n"/>
      <c r="C8" s="4" t="n"/>
      <c r="D8" s="4" t="n"/>
      <c r="E8" s="4" t="n"/>
      <c r="F8" s="10">
        <f>IF(SUM($E$4:E8)&gt;10000,0.25,0.45)</f>
        <v/>
      </c>
      <c r="G8" s="11">
        <f>IF(E8="","",E8*F8)</f>
        <v/>
      </c>
    </row>
    <row r="9">
      <c r="A9" s="5" t="n"/>
      <c r="B9" s="5" t="n"/>
      <c r="C9" s="5" t="n"/>
      <c r="D9" s="5" t="n"/>
      <c r="E9" s="5" t="n"/>
      <c r="F9" s="12">
        <f>IF(SUM($E$4:E9)&gt;10000,0.25,0.45)</f>
        <v/>
      </c>
      <c r="G9" s="13">
        <f>IF(E9="","",E9*F9)</f>
        <v/>
      </c>
    </row>
    <row r="10">
      <c r="A10" s="4" t="n"/>
      <c r="B10" s="4" t="n"/>
      <c r="C10" s="4" t="n"/>
      <c r="D10" s="4" t="n"/>
      <c r="E10" s="4" t="n"/>
      <c r="F10" s="10">
        <f>IF(SUM($E$4:E10)&gt;10000,0.25,0.45)</f>
        <v/>
      </c>
      <c r="G10" s="11">
        <f>IF(E10="","",E10*F10)</f>
        <v/>
      </c>
    </row>
    <row r="11">
      <c r="A11" s="5" t="n"/>
      <c r="B11" s="5" t="n"/>
      <c r="C11" s="5" t="n"/>
      <c r="D11" s="5" t="n"/>
      <c r="E11" s="5" t="n"/>
      <c r="F11" s="12">
        <f>IF(SUM($E$4:E11)&gt;10000,0.25,0.45)</f>
        <v/>
      </c>
      <c r="G11" s="13">
        <f>IF(E11="","",E11*F11)</f>
        <v/>
      </c>
    </row>
    <row r="12">
      <c r="A12" s="4" t="n"/>
      <c r="B12" s="4" t="n"/>
      <c r="C12" s="4" t="n"/>
      <c r="D12" s="4" t="n"/>
      <c r="E12" s="4" t="n"/>
      <c r="F12" s="10">
        <f>IF(SUM($E$4:E12)&gt;10000,0.25,0.45)</f>
        <v/>
      </c>
      <c r="G12" s="11">
        <f>IF(E12="","",E12*F12)</f>
        <v/>
      </c>
    </row>
    <row r="13">
      <c r="A13" s="5" t="n"/>
      <c r="B13" s="5" t="n"/>
      <c r="C13" s="5" t="n"/>
      <c r="D13" s="5" t="n"/>
      <c r="E13" s="5" t="n"/>
      <c r="F13" s="12">
        <f>IF(SUM($E$4:E13)&gt;10000,0.25,0.45)</f>
        <v/>
      </c>
      <c r="G13" s="13">
        <f>IF(E13="","",E13*F13)</f>
        <v/>
      </c>
    </row>
    <row r="14">
      <c r="A14" s="4" t="n"/>
      <c r="B14" s="4" t="n"/>
      <c r="C14" s="4" t="n"/>
      <c r="D14" s="4" t="n"/>
      <c r="E14" s="4" t="n"/>
      <c r="F14" s="10">
        <f>IF(SUM($E$4:E14)&gt;10000,0.25,0.45)</f>
        <v/>
      </c>
      <c r="G14" s="11">
        <f>IF(E14="","",E14*F14)</f>
        <v/>
      </c>
    </row>
    <row r="15">
      <c r="A15" s="5" t="n"/>
      <c r="B15" s="5" t="n"/>
      <c r="C15" s="5" t="n"/>
      <c r="D15" s="5" t="n"/>
      <c r="E15" s="5" t="n"/>
      <c r="F15" s="12">
        <f>IF(SUM($E$4:E15)&gt;10000,0.25,0.45)</f>
        <v/>
      </c>
      <c r="G15" s="13">
        <f>IF(E15="","",E15*F15)</f>
        <v/>
      </c>
    </row>
    <row r="16">
      <c r="A16" s="4" t="n"/>
      <c r="B16" s="4" t="n"/>
      <c r="C16" s="4" t="n"/>
      <c r="D16" s="4" t="n"/>
      <c r="E16" s="4" t="n"/>
      <c r="F16" s="10">
        <f>IF(SUM($E$4:E16)&gt;10000,0.25,0.45)</f>
        <v/>
      </c>
      <c r="G16" s="11">
        <f>IF(E16="","",E16*F16)</f>
        <v/>
      </c>
    </row>
    <row r="17">
      <c r="A17" s="5" t="n"/>
      <c r="B17" s="5" t="n"/>
      <c r="C17" s="5" t="n"/>
      <c r="D17" s="5" t="n"/>
      <c r="E17" s="5" t="n"/>
      <c r="F17" s="12">
        <f>IF(SUM($E$4:E17)&gt;10000,0.25,0.45)</f>
        <v/>
      </c>
      <c r="G17" s="13">
        <f>IF(E17="","",E17*F17)</f>
        <v/>
      </c>
    </row>
    <row r="18">
      <c r="A18" s="4" t="n"/>
      <c r="B18" s="4" t="n"/>
      <c r="C18" s="4" t="n"/>
      <c r="D18" s="4" t="n"/>
      <c r="E18" s="4" t="n"/>
      <c r="F18" s="10">
        <f>IF(SUM($E$4:E18)&gt;10000,0.25,0.45)</f>
        <v/>
      </c>
      <c r="G18" s="11">
        <f>IF(E18="","",E18*F18)</f>
        <v/>
      </c>
    </row>
    <row r="19">
      <c r="A19" s="5" t="n"/>
      <c r="B19" s="5" t="n"/>
      <c r="C19" s="5" t="n"/>
      <c r="D19" s="5" t="n"/>
      <c r="E19" s="5" t="n"/>
      <c r="F19" s="12">
        <f>IF(SUM($E$4:E19)&gt;10000,0.25,0.45)</f>
        <v/>
      </c>
      <c r="G19" s="13">
        <f>IF(E19="","",E19*F19)</f>
        <v/>
      </c>
    </row>
    <row r="20">
      <c r="A20" s="4" t="n"/>
      <c r="B20" s="4" t="n"/>
      <c r="C20" s="4" t="n"/>
      <c r="D20" s="4" t="n"/>
      <c r="E20" s="4" t="n"/>
      <c r="F20" s="10">
        <f>IF(SUM($E$4:E20)&gt;10000,0.25,0.45)</f>
        <v/>
      </c>
      <c r="G20" s="11">
        <f>IF(E20="","",E20*F20)</f>
        <v/>
      </c>
    </row>
    <row r="21">
      <c r="A21" s="5" t="n"/>
      <c r="B21" s="5" t="n"/>
      <c r="C21" s="5" t="n"/>
      <c r="D21" s="5" t="n"/>
      <c r="E21" s="5" t="n"/>
      <c r="F21" s="12">
        <f>IF(SUM($E$4:E21)&gt;10000,0.25,0.45)</f>
        <v/>
      </c>
      <c r="G21" s="13">
        <f>IF(E21="","",E21*F21)</f>
        <v/>
      </c>
    </row>
    <row r="22">
      <c r="A22" s="4" t="n"/>
      <c r="B22" s="4" t="n"/>
      <c r="C22" s="4" t="n"/>
      <c r="D22" s="4" t="n"/>
      <c r="E22" s="4" t="n"/>
      <c r="F22" s="10">
        <f>IF(SUM($E$4:E22)&gt;10000,0.25,0.45)</f>
        <v/>
      </c>
      <c r="G22" s="11">
        <f>IF(E22="","",E22*F22)</f>
        <v/>
      </c>
    </row>
    <row r="23">
      <c r="A23" s="5" t="n"/>
      <c r="B23" s="5" t="n"/>
      <c r="C23" s="5" t="n"/>
      <c r="D23" s="5" t="n"/>
      <c r="E23" s="5" t="n"/>
      <c r="F23" s="12">
        <f>IF(SUM($E$4:E23)&gt;10000,0.25,0.45)</f>
        <v/>
      </c>
      <c r="G23" s="13">
        <f>IF(E23="","",E23*F23)</f>
        <v/>
      </c>
    </row>
    <row r="24">
      <c r="A24" s="4" t="n"/>
      <c r="B24" s="4" t="n"/>
      <c r="C24" s="4" t="n"/>
      <c r="D24" s="4" t="n"/>
      <c r="E24" s="4" t="n"/>
      <c r="F24" s="10">
        <f>IF(SUM($E$4:E24)&gt;10000,0.25,0.45)</f>
        <v/>
      </c>
      <c r="G24" s="11">
        <f>IF(E24="","",E24*F24)</f>
        <v/>
      </c>
    </row>
    <row r="25">
      <c r="A25" s="5" t="n"/>
      <c r="B25" s="5" t="n"/>
      <c r="C25" s="5" t="n"/>
      <c r="D25" s="5" t="n"/>
      <c r="E25" s="5" t="n"/>
      <c r="F25" s="12">
        <f>IF(SUM($E$4:E25)&gt;10000,0.25,0.45)</f>
        <v/>
      </c>
      <c r="G25" s="13">
        <f>IF(E25="","",E25*F25)</f>
        <v/>
      </c>
    </row>
    <row r="26">
      <c r="A26" s="4" t="n"/>
      <c r="B26" s="4" t="n"/>
      <c r="C26" s="4" t="n"/>
      <c r="D26" s="4" t="n"/>
      <c r="E26" s="4" t="n"/>
      <c r="F26" s="10">
        <f>IF(SUM($E$4:E26)&gt;10000,0.25,0.45)</f>
        <v/>
      </c>
      <c r="G26" s="11">
        <f>IF(E26="","",E26*F26)</f>
        <v/>
      </c>
    </row>
    <row r="27">
      <c r="A27" s="5" t="n"/>
      <c r="B27" s="5" t="n"/>
      <c r="C27" s="5" t="n"/>
      <c r="D27" s="5" t="n"/>
      <c r="E27" s="5" t="n"/>
      <c r="F27" s="12">
        <f>IF(SUM($E$4:E27)&gt;10000,0.25,0.45)</f>
        <v/>
      </c>
      <c r="G27" s="13">
        <f>IF(E27="","",E27*F27)</f>
        <v/>
      </c>
    </row>
    <row r="28">
      <c r="A28" s="4" t="n"/>
      <c r="B28" s="4" t="n"/>
      <c r="C28" s="4" t="n"/>
      <c r="D28" s="4" t="n"/>
      <c r="E28" s="4" t="n"/>
      <c r="F28" s="10">
        <f>IF(SUM($E$4:E28)&gt;10000,0.25,0.45)</f>
        <v/>
      </c>
      <c r="G28" s="11">
        <f>IF(E28="","",E28*F28)</f>
        <v/>
      </c>
    </row>
    <row r="29">
      <c r="A29" s="5" t="n"/>
      <c r="B29" s="5" t="n"/>
      <c r="C29" s="5" t="n"/>
      <c r="D29" s="5" t="n"/>
      <c r="E29" s="5" t="n"/>
      <c r="F29" s="12">
        <f>IF(SUM($E$4:E29)&gt;10000,0.25,0.45)</f>
        <v/>
      </c>
      <c r="G29" s="13">
        <f>IF(E29="","",E29*F29)</f>
        <v/>
      </c>
    </row>
    <row r="30">
      <c r="A30" s="4" t="n"/>
      <c r="B30" s="4" t="n"/>
      <c r="C30" s="4" t="n"/>
      <c r="D30" s="4" t="n"/>
      <c r="E30" s="4" t="n"/>
      <c r="F30" s="10">
        <f>IF(SUM($E$4:E30)&gt;10000,0.25,0.45)</f>
        <v/>
      </c>
      <c r="G30" s="11">
        <f>IF(E30="","",E30*F30)</f>
        <v/>
      </c>
    </row>
    <row r="31">
      <c r="A31" s="5" t="n"/>
      <c r="B31" s="5" t="n"/>
      <c r="C31" s="5" t="n"/>
      <c r="D31" s="5" t="n"/>
      <c r="E31" s="5" t="n"/>
      <c r="F31" s="12">
        <f>IF(SUM($E$4:E31)&gt;10000,0.25,0.45)</f>
        <v/>
      </c>
      <c r="G31" s="13">
        <f>IF(E31="","",E31*F31)</f>
        <v/>
      </c>
    </row>
    <row r="32">
      <c r="A32" s="4" t="n"/>
      <c r="B32" s="4" t="n"/>
      <c r="C32" s="4" t="n"/>
      <c r="D32" s="4" t="n"/>
      <c r="E32" s="4" t="n"/>
      <c r="F32" s="10">
        <f>IF(SUM($E$4:E32)&gt;10000,0.25,0.45)</f>
        <v/>
      </c>
      <c r="G32" s="11">
        <f>IF(E32="","",E32*F32)</f>
        <v/>
      </c>
    </row>
    <row r="33">
      <c r="A33" s="5" t="n"/>
      <c r="B33" s="5" t="n"/>
      <c r="C33" s="5" t="n"/>
      <c r="D33" s="5" t="n"/>
      <c r="E33" s="5" t="n"/>
      <c r="F33" s="12">
        <f>IF(SUM($E$4:E33)&gt;10000,0.25,0.45)</f>
        <v/>
      </c>
      <c r="G33" s="13">
        <f>IF(E33="","",E33*F33)</f>
        <v/>
      </c>
    </row>
    <row r="34">
      <c r="A34" s="4" t="n"/>
      <c r="B34" s="4" t="n"/>
      <c r="C34" s="4" t="n"/>
      <c r="D34" s="4" t="n"/>
      <c r="E34" s="4" t="n"/>
      <c r="F34" s="10">
        <f>IF(SUM($E$4:E34)&gt;10000,0.25,0.45)</f>
        <v/>
      </c>
      <c r="G34" s="11">
        <f>IF(E34="","",E34*F34)</f>
        <v/>
      </c>
    </row>
    <row r="35">
      <c r="A35" s="5" t="n"/>
      <c r="B35" s="5" t="n"/>
      <c r="C35" s="5" t="n"/>
      <c r="D35" s="5" t="n"/>
      <c r="E35" s="5" t="n"/>
      <c r="F35" s="12">
        <f>IF(SUM($E$4:E35)&gt;10000,0.25,0.45)</f>
        <v/>
      </c>
      <c r="G35" s="13">
        <f>IF(E35="","",E35*F35)</f>
        <v/>
      </c>
    </row>
    <row r="36">
      <c r="A36" s="4" t="n"/>
      <c r="B36" s="4" t="n"/>
      <c r="C36" s="4" t="n"/>
      <c r="D36" s="4" t="n"/>
      <c r="E36" s="4" t="n"/>
      <c r="F36" s="10">
        <f>IF(SUM($E$4:E36)&gt;10000,0.25,0.45)</f>
        <v/>
      </c>
      <c r="G36" s="11">
        <f>IF(E36="","",E36*F36)</f>
        <v/>
      </c>
    </row>
    <row r="37">
      <c r="A37" s="5" t="n"/>
      <c r="B37" s="5" t="n"/>
      <c r="C37" s="5" t="n"/>
      <c r="D37" s="5" t="n"/>
      <c r="E37" s="5" t="n"/>
      <c r="F37" s="12">
        <f>IF(SUM($E$4:E37)&gt;10000,0.25,0.45)</f>
        <v/>
      </c>
      <c r="G37" s="13">
        <f>IF(E37="","",E37*F37)</f>
        <v/>
      </c>
    </row>
    <row r="38">
      <c r="A38" s="4" t="n"/>
      <c r="B38" s="4" t="n"/>
      <c r="C38" s="4" t="n"/>
      <c r="D38" s="4" t="n"/>
      <c r="E38" s="4" t="n"/>
      <c r="F38" s="10">
        <f>IF(SUM($E$4:E38)&gt;10000,0.25,0.45)</f>
        <v/>
      </c>
      <c r="G38" s="11">
        <f>IF(E38="","",E38*F38)</f>
        <v/>
      </c>
    </row>
    <row r="39">
      <c r="A39" s="5" t="n"/>
      <c r="B39" s="5" t="n"/>
      <c r="C39" s="5" t="n"/>
      <c r="D39" s="5" t="n"/>
      <c r="E39" s="5" t="n"/>
      <c r="F39" s="12">
        <f>IF(SUM($E$4:E39)&gt;10000,0.25,0.45)</f>
        <v/>
      </c>
      <c r="G39" s="13">
        <f>IF(E39="","",E39*F39)</f>
        <v/>
      </c>
    </row>
    <row r="40">
      <c r="A40" s="4" t="n"/>
      <c r="B40" s="4" t="n"/>
      <c r="C40" s="4" t="n"/>
      <c r="D40" s="4" t="n"/>
      <c r="E40" s="4" t="n"/>
      <c r="F40" s="10">
        <f>IF(SUM($E$4:E40)&gt;10000,0.25,0.45)</f>
        <v/>
      </c>
      <c r="G40" s="11">
        <f>IF(E40="","",E40*F40)</f>
        <v/>
      </c>
    </row>
    <row r="41">
      <c r="A41" s="5" t="n"/>
      <c r="B41" s="5" t="n"/>
      <c r="C41" s="5" t="n"/>
      <c r="D41" s="5" t="n"/>
      <c r="E41" s="5" t="n"/>
      <c r="F41" s="12">
        <f>IF(SUM($E$4:E41)&gt;10000,0.25,0.45)</f>
        <v/>
      </c>
      <c r="G41" s="13">
        <f>IF(E41="","",E41*F41)</f>
        <v/>
      </c>
    </row>
    <row r="42">
      <c r="A42" s="4" t="n"/>
      <c r="B42" s="4" t="n"/>
      <c r="C42" s="4" t="n"/>
      <c r="D42" s="4" t="n"/>
      <c r="E42" s="4" t="n"/>
      <c r="F42" s="10">
        <f>IF(SUM($E$4:E42)&gt;10000,0.25,0.45)</f>
        <v/>
      </c>
      <c r="G42" s="11">
        <f>IF(E42="","",E42*F42)</f>
        <v/>
      </c>
    </row>
    <row r="43">
      <c r="A43" s="5" t="n"/>
      <c r="B43" s="5" t="n"/>
      <c r="C43" s="5" t="n"/>
      <c r="D43" s="5" t="n"/>
      <c r="E43" s="5" t="n"/>
      <c r="F43" s="12">
        <f>IF(SUM($E$4:E43)&gt;10000,0.25,0.45)</f>
        <v/>
      </c>
      <c r="G43" s="13">
        <f>IF(E43="","",E43*F43)</f>
        <v/>
      </c>
    </row>
    <row r="44">
      <c r="A44" s="4" t="n"/>
      <c r="B44" s="4" t="n"/>
      <c r="C44" s="4" t="n"/>
      <c r="D44" s="4" t="n"/>
      <c r="E44" s="4" t="n"/>
      <c r="F44" s="10">
        <f>IF(SUM($E$4:E44)&gt;10000,0.25,0.45)</f>
        <v/>
      </c>
      <c r="G44" s="11">
        <f>IF(E44="","",E44*F44)</f>
        <v/>
      </c>
    </row>
    <row r="45">
      <c r="A45" s="5" t="n"/>
      <c r="B45" s="5" t="n"/>
      <c r="C45" s="5" t="n"/>
      <c r="D45" s="5" t="n"/>
      <c r="E45" s="5" t="n"/>
      <c r="F45" s="12">
        <f>IF(SUM($E$4:E45)&gt;10000,0.25,0.45)</f>
        <v/>
      </c>
      <c r="G45" s="13">
        <f>IF(E45="","",E45*F45)</f>
        <v/>
      </c>
    </row>
    <row r="46">
      <c r="A46" s="4" t="n"/>
      <c r="B46" s="4" t="n"/>
      <c r="C46" s="4" t="n"/>
      <c r="D46" s="4" t="n"/>
      <c r="E46" s="4" t="n"/>
      <c r="F46" s="10">
        <f>IF(SUM($E$4:E46)&gt;10000,0.25,0.45)</f>
        <v/>
      </c>
      <c r="G46" s="11">
        <f>IF(E46="","",E46*F46)</f>
        <v/>
      </c>
    </row>
    <row r="47">
      <c r="A47" s="5" t="n"/>
      <c r="B47" s="5" t="n"/>
      <c r="C47" s="5" t="n"/>
      <c r="D47" s="5" t="n"/>
      <c r="E47" s="5" t="n"/>
      <c r="F47" s="12">
        <f>IF(SUM($E$4:E47)&gt;10000,0.25,0.45)</f>
        <v/>
      </c>
      <c r="G47" s="13">
        <f>IF(E47="","",E47*F47)</f>
        <v/>
      </c>
    </row>
    <row r="48">
      <c r="A48" s="4" t="n"/>
      <c r="B48" s="4" t="n"/>
      <c r="C48" s="4" t="n"/>
      <c r="D48" s="4" t="n"/>
      <c r="E48" s="4" t="n"/>
      <c r="F48" s="10">
        <f>IF(SUM($E$4:E48)&gt;10000,0.25,0.45)</f>
        <v/>
      </c>
      <c r="G48" s="11">
        <f>IF(E48="","",E48*F48)</f>
        <v/>
      </c>
    </row>
    <row r="49">
      <c r="A49" s="5" t="n"/>
      <c r="B49" s="5" t="n"/>
      <c r="C49" s="5" t="n"/>
      <c r="D49" s="5" t="n"/>
      <c r="E49" s="5" t="n"/>
      <c r="F49" s="12">
        <f>IF(SUM($E$4:E49)&gt;10000,0.25,0.45)</f>
        <v/>
      </c>
      <c r="G49" s="13">
        <f>IF(E49="","",E49*F49)</f>
        <v/>
      </c>
    </row>
    <row r="50">
      <c r="A50" s="4" t="n"/>
      <c r="B50" s="4" t="n"/>
      <c r="C50" s="4" t="n"/>
      <c r="D50" s="4" t="n"/>
      <c r="E50" s="4" t="n"/>
      <c r="F50" s="10">
        <f>IF(SUM($E$4:E50)&gt;10000,0.25,0.45)</f>
        <v/>
      </c>
      <c r="G50" s="11">
        <f>IF(E50="","",E50*F50)</f>
        <v/>
      </c>
    </row>
    <row r="51">
      <c r="A51" s="5" t="n"/>
      <c r="B51" s="5" t="n"/>
      <c r="C51" s="5" t="n"/>
      <c r="D51" s="5" t="n"/>
      <c r="E51" s="5" t="n"/>
      <c r="F51" s="12">
        <f>IF(SUM($E$4:E51)&gt;10000,0.25,0.45)</f>
        <v/>
      </c>
      <c r="G51" s="13">
        <f>IF(E51="","",E51*F51)</f>
        <v/>
      </c>
    </row>
    <row r="52">
      <c r="A52" s="4" t="n"/>
      <c r="B52" s="4" t="n"/>
      <c r="C52" s="4" t="n"/>
      <c r="D52" s="4" t="n"/>
      <c r="E52" s="4" t="n"/>
      <c r="F52" s="10">
        <f>IF(SUM($E$4:E52)&gt;10000,0.25,0.45)</f>
        <v/>
      </c>
      <c r="G52" s="11">
        <f>IF(E52="","",E52*F52)</f>
        <v/>
      </c>
    </row>
    <row r="53">
      <c r="A53" s="5" t="n"/>
      <c r="B53" s="5" t="n"/>
      <c r="C53" s="5" t="n"/>
      <c r="D53" s="5" t="n"/>
      <c r="E53" s="5" t="n"/>
      <c r="F53" s="12">
        <f>IF(SUM($E$4:E53)&gt;10000,0.25,0.45)</f>
        <v/>
      </c>
      <c r="G53" s="13">
        <f>IF(E53="","",E53*F53)</f>
        <v/>
      </c>
    </row>
    <row r="54">
      <c r="A54" s="4" t="n"/>
      <c r="B54" s="4" t="n"/>
      <c r="C54" s="4" t="n"/>
      <c r="D54" s="4" t="n"/>
      <c r="E54" s="4" t="n"/>
      <c r="F54" s="10">
        <f>IF(SUM($E$4:E54)&gt;10000,0.25,0.45)</f>
        <v/>
      </c>
      <c r="G54" s="11">
        <f>IF(E54="","",E54*F54)</f>
        <v/>
      </c>
    </row>
    <row r="55">
      <c r="A55" s="5" t="n"/>
      <c r="B55" s="5" t="n"/>
      <c r="C55" s="5" t="n"/>
      <c r="D55" s="5" t="n"/>
      <c r="E55" s="5" t="n"/>
      <c r="F55" s="12">
        <f>IF(SUM($E$4:E55)&gt;10000,0.25,0.45)</f>
        <v/>
      </c>
      <c r="G55" s="13">
        <f>IF(E55="","",E55*F55)</f>
        <v/>
      </c>
    </row>
    <row r="56">
      <c r="A56" s="4" t="n"/>
      <c r="B56" s="4" t="n"/>
      <c r="C56" s="4" t="n"/>
      <c r="D56" s="4" t="n"/>
      <c r="E56" s="4" t="n"/>
      <c r="F56" s="10">
        <f>IF(SUM($E$4:E56)&gt;10000,0.25,0.45)</f>
        <v/>
      </c>
      <c r="G56" s="11">
        <f>IF(E56="","",E56*F56)</f>
        <v/>
      </c>
    </row>
    <row r="57">
      <c r="A57" s="5" t="n"/>
      <c r="B57" s="5" t="n"/>
      <c r="C57" s="5" t="n"/>
      <c r="D57" s="5" t="n"/>
      <c r="E57" s="5" t="n"/>
      <c r="F57" s="12">
        <f>IF(SUM($E$4:E57)&gt;10000,0.25,0.45)</f>
        <v/>
      </c>
      <c r="G57" s="13">
        <f>IF(E57="","",E57*F57)</f>
        <v/>
      </c>
    </row>
    <row r="58">
      <c r="A58" s="4" t="n"/>
      <c r="B58" s="4" t="n"/>
      <c r="C58" s="4" t="n"/>
      <c r="D58" s="4" t="n"/>
      <c r="E58" s="4" t="n"/>
      <c r="F58" s="10">
        <f>IF(SUM($E$4:E58)&gt;10000,0.25,0.45)</f>
        <v/>
      </c>
      <c r="G58" s="11">
        <f>IF(E58="","",E58*F58)</f>
        <v/>
      </c>
    </row>
    <row r="59">
      <c r="A59" s="5" t="n"/>
      <c r="B59" s="5" t="n"/>
      <c r="C59" s="5" t="n"/>
      <c r="D59" s="5" t="n"/>
      <c r="E59" s="5" t="n"/>
      <c r="F59" s="12">
        <f>IF(SUM($E$4:E59)&gt;10000,0.25,0.45)</f>
        <v/>
      </c>
      <c r="G59" s="13">
        <f>IF(E59="","",E59*F59)</f>
        <v/>
      </c>
    </row>
    <row r="60">
      <c r="A60" s="4" t="n"/>
      <c r="B60" s="4" t="n"/>
      <c r="C60" s="4" t="n"/>
      <c r="D60" s="4" t="n"/>
      <c r="E60" s="4" t="n"/>
      <c r="F60" s="10">
        <f>IF(SUM($E$4:E60)&gt;10000,0.25,0.45)</f>
        <v/>
      </c>
      <c r="G60" s="11">
        <f>IF(E60="","",E60*F60)</f>
        <v/>
      </c>
    </row>
    <row r="61">
      <c r="A61" s="5" t="n"/>
      <c r="B61" s="5" t="n"/>
      <c r="C61" s="5" t="n"/>
      <c r="D61" s="5" t="n"/>
      <c r="E61" s="5" t="n"/>
      <c r="F61" s="12">
        <f>IF(SUM($E$4:E61)&gt;10000,0.25,0.45)</f>
        <v/>
      </c>
      <c r="G61" s="13">
        <f>IF(E61="","",E61*F61)</f>
        <v/>
      </c>
    </row>
    <row r="62">
      <c r="A62" s="4" t="n"/>
      <c r="B62" s="4" t="n"/>
      <c r="C62" s="4" t="n"/>
      <c r="D62" s="4" t="n"/>
      <c r="E62" s="4" t="n"/>
      <c r="F62" s="10">
        <f>IF(SUM($E$4:E62)&gt;10000,0.25,0.45)</f>
        <v/>
      </c>
      <c r="G62" s="11">
        <f>IF(E62="","",E62*F62)</f>
        <v/>
      </c>
    </row>
    <row r="63">
      <c r="A63" s="5" t="n"/>
      <c r="B63" s="5" t="n"/>
      <c r="C63" s="5" t="n"/>
      <c r="D63" s="5" t="n"/>
      <c r="E63" s="5" t="n"/>
      <c r="F63" s="12">
        <f>IF(SUM($E$4:E63)&gt;10000,0.25,0.45)</f>
        <v/>
      </c>
      <c r="G63" s="13">
        <f>IF(E63="","",E63*F63)</f>
        <v/>
      </c>
    </row>
    <row r="64">
      <c r="A64" s="4" t="n"/>
      <c r="B64" s="4" t="n"/>
      <c r="C64" s="4" t="n"/>
      <c r="D64" s="4" t="n"/>
      <c r="E64" s="4" t="n"/>
      <c r="F64" s="10">
        <f>IF(SUM($E$4:E64)&gt;10000,0.25,0.45)</f>
        <v/>
      </c>
      <c r="G64" s="11">
        <f>IF(E64="","",E64*F64)</f>
        <v/>
      </c>
    </row>
    <row r="65">
      <c r="A65" s="5" t="n"/>
      <c r="B65" s="5" t="n"/>
      <c r="C65" s="5" t="n"/>
      <c r="D65" s="5" t="n"/>
      <c r="E65" s="5" t="n"/>
      <c r="F65" s="12">
        <f>IF(SUM($E$4:E65)&gt;10000,0.25,0.45)</f>
        <v/>
      </c>
      <c r="G65" s="13">
        <f>IF(E65="","",E65*F65)</f>
        <v/>
      </c>
    </row>
    <row r="66">
      <c r="A66" s="4" t="n"/>
      <c r="B66" s="4" t="n"/>
      <c r="C66" s="4" t="n"/>
      <c r="D66" s="4" t="n"/>
      <c r="E66" s="4" t="n"/>
      <c r="F66" s="10">
        <f>IF(SUM($E$4:E66)&gt;10000,0.25,0.45)</f>
        <v/>
      </c>
      <c r="G66" s="11">
        <f>IF(E66="","",E66*F66)</f>
        <v/>
      </c>
    </row>
    <row r="67">
      <c r="A67" s="5" t="n"/>
      <c r="B67" s="5" t="n"/>
      <c r="C67" s="5" t="n"/>
      <c r="D67" s="5" t="n"/>
      <c r="E67" s="5" t="n"/>
      <c r="F67" s="12">
        <f>IF(SUM($E$4:E67)&gt;10000,0.25,0.45)</f>
        <v/>
      </c>
      <c r="G67" s="13">
        <f>IF(E67="","",E67*F67)</f>
        <v/>
      </c>
    </row>
    <row r="68">
      <c r="A68" s="4" t="n"/>
      <c r="B68" s="4" t="n"/>
      <c r="C68" s="4" t="n"/>
      <c r="D68" s="4" t="n"/>
      <c r="E68" s="4" t="n"/>
      <c r="F68" s="10">
        <f>IF(SUM($E$4:E68)&gt;10000,0.25,0.45)</f>
        <v/>
      </c>
      <c r="G68" s="11">
        <f>IF(E68="","",E68*F68)</f>
        <v/>
      </c>
    </row>
    <row r="69">
      <c r="A69" s="5" t="n"/>
      <c r="B69" s="5" t="n"/>
      <c r="C69" s="5" t="n"/>
      <c r="D69" s="5" t="n"/>
      <c r="E69" s="5" t="n"/>
      <c r="F69" s="12">
        <f>IF(SUM($E$4:E69)&gt;10000,0.25,0.45)</f>
        <v/>
      </c>
      <c r="G69" s="13">
        <f>IF(E69="","",E69*F69)</f>
        <v/>
      </c>
    </row>
    <row r="70">
      <c r="A70" s="4" t="n"/>
      <c r="B70" s="4" t="n"/>
      <c r="C70" s="4" t="n"/>
      <c r="D70" s="4" t="n"/>
      <c r="E70" s="4" t="n"/>
      <c r="F70" s="10">
        <f>IF(SUM($E$4:E70)&gt;10000,0.25,0.45)</f>
        <v/>
      </c>
      <c r="G70" s="11">
        <f>IF(E70="","",E70*F70)</f>
        <v/>
      </c>
    </row>
    <row r="71">
      <c r="A71" s="5" t="n"/>
      <c r="B71" s="5" t="n"/>
      <c r="C71" s="5" t="n"/>
      <c r="D71" s="5" t="n"/>
      <c r="E71" s="5" t="n"/>
      <c r="F71" s="12">
        <f>IF(SUM($E$4:E71)&gt;10000,0.25,0.45)</f>
        <v/>
      </c>
      <c r="G71" s="13">
        <f>IF(E71="","",E71*F71)</f>
        <v/>
      </c>
    </row>
    <row r="72">
      <c r="A72" s="4" t="n"/>
      <c r="B72" s="4" t="n"/>
      <c r="C72" s="4" t="n"/>
      <c r="D72" s="4" t="n"/>
      <c r="E72" s="4" t="n"/>
      <c r="F72" s="10">
        <f>IF(SUM($E$4:E72)&gt;10000,0.25,0.45)</f>
        <v/>
      </c>
      <c r="G72" s="11">
        <f>IF(E72="","",E72*F72)</f>
        <v/>
      </c>
    </row>
    <row r="73">
      <c r="A73" s="5" t="n"/>
      <c r="B73" s="5" t="n"/>
      <c r="C73" s="5" t="n"/>
      <c r="D73" s="5" t="n"/>
      <c r="E73" s="5" t="n"/>
      <c r="F73" s="12">
        <f>IF(SUM($E$4:E73)&gt;10000,0.25,0.45)</f>
        <v/>
      </c>
      <c r="G73" s="13">
        <f>IF(E73="","",E73*F73)</f>
        <v/>
      </c>
    </row>
    <row r="74">
      <c r="A74" s="4" t="n"/>
      <c r="B74" s="4" t="n"/>
      <c r="C74" s="4" t="n"/>
      <c r="D74" s="4" t="n"/>
      <c r="E74" s="4" t="n"/>
      <c r="F74" s="10">
        <f>IF(SUM($E$4:E74)&gt;10000,0.25,0.45)</f>
        <v/>
      </c>
      <c r="G74" s="11">
        <f>IF(E74="","",E74*F74)</f>
        <v/>
      </c>
    </row>
    <row r="75">
      <c r="A75" s="5" t="n"/>
      <c r="B75" s="5" t="n"/>
      <c r="C75" s="5" t="n"/>
      <c r="D75" s="5" t="n"/>
      <c r="E75" s="5" t="n"/>
      <c r="F75" s="12">
        <f>IF(SUM($E$4:E75)&gt;10000,0.25,0.45)</f>
        <v/>
      </c>
      <c r="G75" s="13">
        <f>IF(E75="","",E75*F75)</f>
        <v/>
      </c>
    </row>
    <row r="76">
      <c r="A76" s="4" t="n"/>
      <c r="B76" s="4" t="n"/>
      <c r="C76" s="4" t="n"/>
      <c r="D76" s="4" t="n"/>
      <c r="E76" s="4" t="n"/>
      <c r="F76" s="10">
        <f>IF(SUM($E$4:E76)&gt;10000,0.25,0.45)</f>
        <v/>
      </c>
      <c r="G76" s="11">
        <f>IF(E76="","",E76*F76)</f>
        <v/>
      </c>
    </row>
    <row r="77">
      <c r="A77" s="5" t="n"/>
      <c r="B77" s="5" t="n"/>
      <c r="C77" s="5" t="n"/>
      <c r="D77" s="5" t="n"/>
      <c r="E77" s="5" t="n"/>
      <c r="F77" s="12">
        <f>IF(SUM($E$4:E77)&gt;10000,0.25,0.45)</f>
        <v/>
      </c>
      <c r="G77" s="13">
        <f>IF(E77="","",E77*F77)</f>
        <v/>
      </c>
    </row>
    <row r="78">
      <c r="A78" s="4" t="n"/>
      <c r="B78" s="4" t="n"/>
      <c r="C78" s="4" t="n"/>
      <c r="D78" s="4" t="n"/>
      <c r="E78" s="4" t="n"/>
      <c r="F78" s="10">
        <f>IF(SUM($E$4:E78)&gt;10000,0.25,0.45)</f>
        <v/>
      </c>
      <c r="G78" s="11">
        <f>IF(E78="","",E78*F78)</f>
        <v/>
      </c>
    </row>
    <row r="79">
      <c r="A79" s="5" t="n"/>
      <c r="B79" s="5" t="n"/>
      <c r="C79" s="5" t="n"/>
      <c r="D79" s="5" t="n"/>
      <c r="E79" s="5" t="n"/>
      <c r="F79" s="12">
        <f>IF(SUM($E$4:E79)&gt;10000,0.25,0.45)</f>
        <v/>
      </c>
      <c r="G79" s="13">
        <f>IF(E79="","",E79*F79)</f>
        <v/>
      </c>
    </row>
    <row r="80">
      <c r="A80" s="4" t="n"/>
      <c r="B80" s="4" t="n"/>
      <c r="C80" s="4" t="n"/>
      <c r="D80" s="4" t="n"/>
      <c r="E80" s="4" t="n"/>
      <c r="F80" s="10">
        <f>IF(SUM($E$4:E80)&gt;10000,0.25,0.45)</f>
        <v/>
      </c>
      <c r="G80" s="11">
        <f>IF(E80="","",E80*F80)</f>
        <v/>
      </c>
    </row>
    <row r="81">
      <c r="A81" s="5" t="n"/>
      <c r="B81" s="5" t="n"/>
      <c r="C81" s="5" t="n"/>
      <c r="D81" s="5" t="n"/>
      <c r="E81" s="5" t="n"/>
      <c r="F81" s="12">
        <f>IF(SUM($E$4:E81)&gt;10000,0.25,0.45)</f>
        <v/>
      </c>
      <c r="G81" s="13">
        <f>IF(E81="","",E81*F81)</f>
        <v/>
      </c>
    </row>
    <row r="82">
      <c r="A82" s="4" t="n"/>
      <c r="B82" s="4" t="n"/>
      <c r="C82" s="4" t="n"/>
      <c r="D82" s="4" t="n"/>
      <c r="E82" s="4" t="n"/>
      <c r="F82" s="10">
        <f>IF(SUM($E$4:E82)&gt;10000,0.25,0.45)</f>
        <v/>
      </c>
      <c r="G82" s="11">
        <f>IF(E82="","",E82*F82)</f>
        <v/>
      </c>
    </row>
    <row r="83">
      <c r="A83" s="5" t="n"/>
      <c r="B83" s="5" t="n"/>
      <c r="C83" s="5" t="n"/>
      <c r="D83" s="5" t="n"/>
      <c r="E83" s="5" t="n"/>
      <c r="F83" s="12">
        <f>IF(SUM($E$4:E83)&gt;10000,0.25,0.45)</f>
        <v/>
      </c>
      <c r="G83" s="13">
        <f>IF(E83="","",E83*F83)</f>
        <v/>
      </c>
    </row>
    <row r="84">
      <c r="A84" s="4" t="n"/>
      <c r="B84" s="4" t="n"/>
      <c r="C84" s="4" t="n"/>
      <c r="D84" s="4" t="n"/>
      <c r="E84" s="4" t="n"/>
      <c r="F84" s="10">
        <f>IF(SUM($E$4:E84)&gt;10000,0.25,0.45)</f>
        <v/>
      </c>
      <c r="G84" s="11">
        <f>IF(E84="","",E84*F84)</f>
        <v/>
      </c>
    </row>
    <row r="85">
      <c r="A85" s="5" t="n"/>
      <c r="B85" s="5" t="n"/>
      <c r="C85" s="5" t="n"/>
      <c r="D85" s="5" t="n"/>
      <c r="E85" s="5" t="n"/>
      <c r="F85" s="12">
        <f>IF(SUM($E$4:E85)&gt;10000,0.25,0.45)</f>
        <v/>
      </c>
      <c r="G85" s="13">
        <f>IF(E85="","",E85*F85)</f>
        <v/>
      </c>
    </row>
    <row r="86">
      <c r="A86" s="4" t="n"/>
      <c r="B86" s="4" t="n"/>
      <c r="C86" s="4" t="n"/>
      <c r="D86" s="4" t="n"/>
      <c r="E86" s="4" t="n"/>
      <c r="F86" s="10">
        <f>IF(SUM($E$4:E86)&gt;10000,0.25,0.45)</f>
        <v/>
      </c>
      <c r="G86" s="11">
        <f>IF(E86="","",E86*F86)</f>
        <v/>
      </c>
    </row>
    <row r="87">
      <c r="A87" s="5" t="n"/>
      <c r="B87" s="5" t="n"/>
      <c r="C87" s="5" t="n"/>
      <c r="D87" s="5" t="n"/>
      <c r="E87" s="5" t="n"/>
      <c r="F87" s="12">
        <f>IF(SUM($E$4:E87)&gt;10000,0.25,0.45)</f>
        <v/>
      </c>
      <c r="G87" s="13">
        <f>IF(E87="","",E87*F87)</f>
        <v/>
      </c>
    </row>
    <row r="88">
      <c r="A88" s="4" t="n"/>
      <c r="B88" s="4" t="n"/>
      <c r="C88" s="4" t="n"/>
      <c r="D88" s="4" t="n"/>
      <c r="E88" s="4" t="n"/>
      <c r="F88" s="10">
        <f>IF(SUM($E$4:E88)&gt;10000,0.25,0.45)</f>
        <v/>
      </c>
      <c r="G88" s="11">
        <f>IF(E88="","",E88*F88)</f>
        <v/>
      </c>
    </row>
    <row r="89">
      <c r="A89" s="5" t="n"/>
      <c r="B89" s="5" t="n"/>
      <c r="C89" s="5" t="n"/>
      <c r="D89" s="5" t="n"/>
      <c r="E89" s="5" t="n"/>
      <c r="F89" s="12">
        <f>IF(SUM($E$4:E89)&gt;10000,0.25,0.45)</f>
        <v/>
      </c>
      <c r="G89" s="13">
        <f>IF(E89="","",E89*F89)</f>
        <v/>
      </c>
    </row>
    <row r="90">
      <c r="A90" s="4" t="n"/>
      <c r="B90" s="4" t="n"/>
      <c r="C90" s="4" t="n"/>
      <c r="D90" s="4" t="n"/>
      <c r="E90" s="4" t="n"/>
      <c r="F90" s="10">
        <f>IF(SUM($E$4:E90)&gt;10000,0.25,0.45)</f>
        <v/>
      </c>
      <c r="G90" s="11">
        <f>IF(E90="","",E90*F90)</f>
        <v/>
      </c>
    </row>
    <row r="91">
      <c r="A91" s="5" t="n"/>
      <c r="B91" s="5" t="n"/>
      <c r="C91" s="5" t="n"/>
      <c r="D91" s="5" t="n"/>
      <c r="E91" s="5" t="n"/>
      <c r="F91" s="12">
        <f>IF(SUM($E$4:E91)&gt;10000,0.25,0.45)</f>
        <v/>
      </c>
      <c r="G91" s="13">
        <f>IF(E91="","",E91*F91)</f>
        <v/>
      </c>
    </row>
    <row r="92">
      <c r="A92" s="4" t="n"/>
      <c r="B92" s="4" t="n"/>
      <c r="C92" s="4" t="n"/>
      <c r="D92" s="4" t="n"/>
      <c r="E92" s="4" t="n"/>
      <c r="F92" s="10">
        <f>IF(SUM($E$4:E92)&gt;10000,0.25,0.45)</f>
        <v/>
      </c>
      <c r="G92" s="11">
        <f>IF(E92="","",E92*F92)</f>
        <v/>
      </c>
    </row>
    <row r="93">
      <c r="A93" s="5" t="n"/>
      <c r="B93" s="5" t="n"/>
      <c r="C93" s="5" t="n"/>
      <c r="D93" s="5" t="n"/>
      <c r="E93" s="5" t="n"/>
      <c r="F93" s="12">
        <f>IF(SUM($E$4:E93)&gt;10000,0.25,0.45)</f>
        <v/>
      </c>
      <c r="G93" s="13">
        <f>IF(E93="","",E93*F93)</f>
        <v/>
      </c>
    </row>
    <row r="94">
      <c r="A94" s="4" t="n"/>
      <c r="B94" s="4" t="n"/>
      <c r="C94" s="4" t="n"/>
      <c r="D94" s="4" t="n"/>
      <c r="E94" s="4" t="n"/>
      <c r="F94" s="10">
        <f>IF(SUM($E$4:E94)&gt;10000,0.25,0.45)</f>
        <v/>
      </c>
      <c r="G94" s="11">
        <f>IF(E94="","",E94*F94)</f>
        <v/>
      </c>
    </row>
    <row r="95">
      <c r="A95" s="5" t="n"/>
      <c r="B95" s="5" t="n"/>
      <c r="C95" s="5" t="n"/>
      <c r="D95" s="5" t="n"/>
      <c r="E95" s="5" t="n"/>
      <c r="F95" s="12">
        <f>IF(SUM($E$4:E95)&gt;10000,0.25,0.45)</f>
        <v/>
      </c>
      <c r="G95" s="13">
        <f>IF(E95="","",E95*F95)</f>
        <v/>
      </c>
    </row>
    <row r="96">
      <c r="A96" s="4" t="n"/>
      <c r="B96" s="4" t="n"/>
      <c r="C96" s="4" t="n"/>
      <c r="D96" s="4" t="n"/>
      <c r="E96" s="4" t="n"/>
      <c r="F96" s="10">
        <f>IF(SUM($E$4:E96)&gt;10000,0.25,0.45)</f>
        <v/>
      </c>
      <c r="G96" s="11">
        <f>IF(E96="","",E96*F96)</f>
        <v/>
      </c>
    </row>
    <row r="97">
      <c r="A97" s="5" t="n"/>
      <c r="B97" s="5" t="n"/>
      <c r="C97" s="5" t="n"/>
      <c r="D97" s="5" t="n"/>
      <c r="E97" s="5" t="n"/>
      <c r="F97" s="12">
        <f>IF(SUM($E$4:E97)&gt;10000,0.25,0.45)</f>
        <v/>
      </c>
      <c r="G97" s="13">
        <f>IF(E97="","",E97*F97)</f>
        <v/>
      </c>
    </row>
    <row r="98">
      <c r="A98" s="4" t="n"/>
      <c r="B98" s="4" t="n"/>
      <c r="C98" s="4" t="n"/>
      <c r="D98" s="4" t="n"/>
      <c r="E98" s="4" t="n"/>
      <c r="F98" s="10">
        <f>IF(SUM($E$4:E98)&gt;10000,0.25,0.45)</f>
        <v/>
      </c>
      <c r="G98" s="11">
        <f>IF(E98="","",E98*F98)</f>
        <v/>
      </c>
    </row>
    <row r="99">
      <c r="A99" s="5" t="n"/>
      <c r="B99" s="5" t="n"/>
      <c r="C99" s="5" t="n"/>
      <c r="D99" s="5" t="n"/>
      <c r="E99" s="5" t="n"/>
      <c r="F99" s="12">
        <f>IF(SUM($E$4:E99)&gt;10000,0.25,0.45)</f>
        <v/>
      </c>
      <c r="G99" s="13">
        <f>IF(E99="","",E99*F99)</f>
        <v/>
      </c>
    </row>
    <row r="100">
      <c r="A100" s="4" t="n"/>
      <c r="B100" s="4" t="n"/>
      <c r="C100" s="4" t="n"/>
      <c r="D100" s="4" t="n"/>
      <c r="E100" s="4" t="n"/>
      <c r="F100" s="10">
        <f>IF(SUM($E$4:E100)&gt;10000,0.25,0.45)</f>
        <v/>
      </c>
      <c r="G100" s="11">
        <f>IF(E100="","",E100*F100)</f>
        <v/>
      </c>
    </row>
    <row r="101">
      <c r="A101" s="5" t="n"/>
      <c r="B101" s="5" t="n"/>
      <c r="C101" s="5" t="n"/>
      <c r="D101" s="5" t="n"/>
      <c r="E101" s="5" t="n"/>
      <c r="F101" s="12">
        <f>IF(SUM($E$4:E101)&gt;10000,0.25,0.45)</f>
        <v/>
      </c>
      <c r="G101" s="13">
        <f>IF(E101="","",E101*F101)</f>
        <v/>
      </c>
    </row>
    <row r="102">
      <c r="A102" s="4" t="n"/>
      <c r="B102" s="4" t="n"/>
      <c r="C102" s="4" t="n"/>
      <c r="D102" s="4" t="n"/>
      <c r="E102" s="4" t="n"/>
      <c r="F102" s="10">
        <f>IF(SUM($E$4:E102)&gt;10000,0.25,0.45)</f>
        <v/>
      </c>
      <c r="G102" s="11">
        <f>IF(E102="","",E102*F102)</f>
        <v/>
      </c>
    </row>
    <row r="103">
      <c r="A103" s="5" t="n"/>
      <c r="B103" s="5" t="n"/>
      <c r="C103" s="5" t="n"/>
      <c r="D103" s="5" t="n"/>
      <c r="E103" s="5" t="n"/>
      <c r="F103" s="12">
        <f>IF(SUM($E$4:E103)&gt;10000,0.25,0.45)</f>
        <v/>
      </c>
      <c r="G103" s="13">
        <f>IF(E103="","",E103*F103)</f>
        <v/>
      </c>
    </row>
    <row r="104">
      <c r="A104" s="6" t="inlineStr">
        <is>
          <t>TOTAL MILEAGE ALLOWANCE</t>
        </is>
      </c>
      <c r="E104" s="14">
        <f>SUM(E4:E103)</f>
        <v/>
      </c>
      <c r="F104" s="9" t="n"/>
      <c r="G104" s="7">
        <f>SUM(G4:G103)</f>
        <v/>
      </c>
    </row>
  </sheetData>
  <mergeCells count="3">
    <mergeCell ref="A104:D104"/>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8" customWidth="1" min="2" max="2"/>
  </cols>
  <sheetData>
    <row r="1" ht="30" customHeight="1">
      <c r="A1" s="1" t="inlineStr">
        <is>
          <t>Solecare Glasgow — Annual Summary</t>
        </is>
      </c>
    </row>
    <row r="2" ht="18" customHeight="1">
      <c r="A2" s="2" t="inlineStr">
        <is>
          <t>Review before Self Assessment filing (31 January deadline).</t>
        </is>
      </c>
    </row>
    <row r="5" ht="20" customHeight="1">
      <c r="A5" s="15" t="inlineStr">
        <is>
          <t>Total income (from Income sheet)</t>
        </is>
      </c>
      <c r="B5" s="16">
        <f>Income!E54</f>
        <v/>
      </c>
    </row>
    <row r="6" ht="20" customHeight="1">
      <c r="A6" s="15" t="inlineStr">
        <is>
          <t>Total expenses (from Expenses sheet)</t>
        </is>
      </c>
      <c r="B6" s="16">
        <f>Expenses!D54</f>
        <v/>
      </c>
    </row>
    <row r="7" ht="20" customHeight="1">
      <c r="A7" s="15" t="inlineStr">
        <is>
          <t>Total mileage allowance (from Mileage)</t>
        </is>
      </c>
      <c r="B7" s="16">
        <f>Mileage!G104</f>
        <v/>
      </c>
    </row>
    <row r="8" ht="20" customHeight="1">
      <c r="A8" s="15" t="inlineStr">
        <is>
          <t>Total deductions</t>
        </is>
      </c>
      <c r="B8" s="16">
        <f>B6+B7</f>
        <v/>
      </c>
    </row>
    <row r="9" ht="20" customHeight="1">
      <c r="A9" s="15" t="inlineStr">
        <is>
          <t>Net taxable profit</t>
        </is>
      </c>
      <c r="B9" s="17">
        <f>B5-B8</f>
        <v/>
      </c>
    </row>
    <row r="11" ht="30" customHeight="1">
      <c r="A11" s="18" t="inlineStr">
        <is>
          <t>Note: VAT does not apply — podiatry is VAT-exempt (VAT Act 1994, Schedule 9 Group 7). Do not register for VAT.</t>
        </is>
      </c>
    </row>
  </sheetData>
  <mergeCells count="3">
    <mergeCell ref="A1:C1"/>
    <mergeCell ref="A11:B1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2026-09-17T00:22:25Z</dcterms:created>
  <dcterms:modified xmlns:dcterms="http://purl.org/dc/terms/" xmlns:xsi="http://www.w3.org/2001/XMLSchema-instance" xsi:type="dcterms:W3CDTF">2026-09-17T00:22:25Z</dcterms:modified>
</cp:coreProperties>
</file>